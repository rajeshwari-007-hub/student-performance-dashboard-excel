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53f8b5633b5d52/Documents/"/>
    </mc:Choice>
  </mc:AlternateContent>
  <xr:revisionPtr revIDLastSave="0" documentId="13_ncr:1_{70F71284-A39E-4337-862D-9316F7D987D3}" xr6:coauthVersionLast="47" xr6:coauthVersionMax="47" xr10:uidLastSave="{00000000-0000-0000-0000-000000000000}"/>
  <bookViews>
    <workbookView xWindow="-110" yWindow="-110" windowWidth="19420" windowHeight="10300" activeTab="1" xr2:uid="{6E0120EC-EF03-428F-BA1D-B10F0C911093}"/>
  </bookViews>
  <sheets>
    <sheet name="Student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30" i="2"/>
  <c r="B31" i="2"/>
  <c r="B32" i="2"/>
  <c r="B33" i="2"/>
  <c r="B34" i="2"/>
  <c r="B35" i="2"/>
  <c r="B36" i="2"/>
  <c r="B37" i="2"/>
  <c r="B38" i="2"/>
  <c r="B39" i="2"/>
  <c r="B40" i="2"/>
  <c r="B41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<sst xmlns="http://schemas.openxmlformats.org/spreadsheetml/2006/main" count="88" uniqueCount="57">
  <si>
    <t>Student ID</t>
  </si>
  <si>
    <t>Name</t>
  </si>
  <si>
    <t>Department</t>
  </si>
  <si>
    <t>Marks</t>
  </si>
  <si>
    <t>Attendance</t>
  </si>
  <si>
    <t>Aarav Sharma</t>
  </si>
  <si>
    <t>Aditi Verma</t>
  </si>
  <si>
    <t>Rahul Kumar</t>
  </si>
  <si>
    <t>Priya Singh</t>
  </si>
  <si>
    <t>Arjun Patel</t>
  </si>
  <si>
    <t>Sneha Reddy</t>
  </si>
  <si>
    <t>Karan Mehta</t>
  </si>
  <si>
    <t>Neha Gupta</t>
  </si>
  <si>
    <t>Rohan Das</t>
  </si>
  <si>
    <t>Ananya Nair</t>
  </si>
  <si>
    <t>Vikram Rao</t>
  </si>
  <si>
    <t>Pooja Joshi</t>
  </si>
  <si>
    <t>Aditya Mishra</t>
  </si>
  <si>
    <t>Kavya Iyer</t>
  </si>
  <si>
    <t>Suresh Kumar</t>
  </si>
  <si>
    <t>Meera Menon</t>
  </si>
  <si>
    <t>Nikhil Jain</t>
  </si>
  <si>
    <t>Divya Sharma</t>
  </si>
  <si>
    <t>Akash Yadav</t>
  </si>
  <si>
    <t>Ishita Roy</t>
  </si>
  <si>
    <t>Harsh Vardhan</t>
  </si>
  <si>
    <t>Ritika Kapoor</t>
  </si>
  <si>
    <t>Aman Choudhary</t>
  </si>
  <si>
    <t>Sanjana Shetty</t>
  </si>
  <si>
    <t>Deepak Verma</t>
  </si>
  <si>
    <t>Tanvi Kulkarni</t>
  </si>
  <si>
    <t>Mohit Agarwal</t>
  </si>
  <si>
    <t>Shreya Sinha</t>
  </si>
  <si>
    <t>Yash Malhotra</t>
  </si>
  <si>
    <t>Bhavya Bansal</t>
  </si>
  <si>
    <t>Data Science &amp; Analytics</t>
  </si>
  <si>
    <t>Computer Science</t>
  </si>
  <si>
    <t>Information Technology</t>
  </si>
  <si>
    <t>Artificial Intelligence</t>
  </si>
  <si>
    <t>Cyber Security</t>
  </si>
  <si>
    <t>Electronics &amp; Communication</t>
  </si>
  <si>
    <t>Mechanical Engineering</t>
  </si>
  <si>
    <t>Civil Engineering</t>
  </si>
  <si>
    <t>Artificial Intelligence &amp; Machine Learning</t>
  </si>
  <si>
    <t>Business Administration</t>
  </si>
  <si>
    <t>Commerce</t>
  </si>
  <si>
    <t>Mathematics</t>
  </si>
  <si>
    <t>Statistics</t>
  </si>
  <si>
    <t>Total Students</t>
  </si>
  <si>
    <t>Average</t>
  </si>
  <si>
    <t>Highest Mark</t>
  </si>
  <si>
    <t>Lowest Mark</t>
  </si>
  <si>
    <t>Students with attendance &gt;90</t>
  </si>
  <si>
    <t>Students Scoring &gt;80</t>
  </si>
  <si>
    <t>Student Scoring&lt;50</t>
  </si>
  <si>
    <t>Average Attendance</t>
  </si>
  <si>
    <t>No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</si>
</sst>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3F3F3F"/>
      <name val="Calibri"/>
      <family val="2"/>
      <scheme val="minor"/>
    </font>
    <font>
      <sz val="2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0" borderId="3" applyNumberFormat="0" applyFill="0" applyAlignment="0" applyProtection="0"/>
  </cellStyleXfs>
  <cellXfs count="9">
    <xf numFmtId="0" fontId="0" fillId="0" borderId="0" xfId="0"/>
    <xf numFmtId="0" fontId="4" fillId="0" borderId="3" xfId="3"/>
    <xf numFmtId="0" fontId="0" fillId="0" borderId="0" xfId="0" applyAlignment="1">
      <alignment horizontal="center"/>
    </xf>
    <xf numFmtId="0" fontId="5" fillId="2" borderId="1" xfId="1" applyFont="1" applyAlignment="1">
      <alignment horizontal="center"/>
    </xf>
    <xf numFmtId="0" fontId="6" fillId="2" borderId="1" xfId="1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2" xfId="2" applyFont="1"/>
    <xf numFmtId="164" fontId="8" fillId="3" borderId="2" xfId="2" applyNumberFormat="1" applyFont="1"/>
    <xf numFmtId="0" fontId="8" fillId="4" borderId="2" xfId="2" applyFont="1" applyFill="1"/>
  </cellXfs>
  <cellStyles count="4">
    <cellStyle name="Check Cell" xfId="2" builtinId="23"/>
    <cellStyle name="Normal" xfId="0" builtinId="0"/>
    <cellStyle name="Output" xfId="1" builtinId="21"/>
    <cellStyle name="Total" xfId="3" builtinId="25"/>
  </cellStyles>
  <dxfs count="1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28"/>
        <color rgb="FF3F3F3F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28"/>
        <color rgb="FF3F3F3F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28"/>
        <color rgb="FF3F3F3F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28"/>
        <color rgb="FF3F3F3F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600"/>
              <a:t>STUDENT</a:t>
            </a:r>
            <a:r>
              <a:rPr lang="en-US" sz="3600" baseline="0"/>
              <a:t> MARKS ANALYSIS</a:t>
            </a:r>
            <a:endParaRPr lang="en-US" sz="3600"/>
          </a:p>
        </c:rich>
      </c:tx>
      <c:layout>
        <c:manualLayout>
          <c:xMode val="edge"/>
          <c:yMode val="edge"/>
          <c:x val="0.27339404782406301"/>
          <c:y val="4.0602824925866823E-2"/>
        </c:manualLayout>
      </c:layout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542089487651603E-2"/>
          <c:y val="0.18342124768719767"/>
          <c:w val="0.86603140652075905"/>
          <c:h val="0.572757139035645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Student!$D$1</c:f>
              <c:strCache>
                <c:ptCount val="1"/>
                <c:pt idx="0">
                  <c:v>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Student!$B$2:$B$31</c:f>
              <c:strCache>
                <c:ptCount val="30"/>
                <c:pt idx="0">
                  <c:v>Aarav Sharma</c:v>
                </c:pt>
                <c:pt idx="1">
                  <c:v>Aditi Verma</c:v>
                </c:pt>
                <c:pt idx="2">
                  <c:v>Rahul Kumar</c:v>
                </c:pt>
                <c:pt idx="3">
                  <c:v>Priya Singh</c:v>
                </c:pt>
                <c:pt idx="4">
                  <c:v>Arjun Patel</c:v>
                </c:pt>
                <c:pt idx="5">
                  <c:v>Sneha Reddy</c:v>
                </c:pt>
                <c:pt idx="6">
                  <c:v>Karan Mehta</c:v>
                </c:pt>
                <c:pt idx="7">
                  <c:v>Neha Gupta</c:v>
                </c:pt>
                <c:pt idx="8">
                  <c:v>Rohan Das</c:v>
                </c:pt>
                <c:pt idx="9">
                  <c:v>Ananya Nair</c:v>
                </c:pt>
                <c:pt idx="10">
                  <c:v>Vikram Rao</c:v>
                </c:pt>
                <c:pt idx="11">
                  <c:v>Pooja Joshi</c:v>
                </c:pt>
                <c:pt idx="12">
                  <c:v>Aditya Mishra</c:v>
                </c:pt>
                <c:pt idx="13">
                  <c:v>Kavya Iyer</c:v>
                </c:pt>
                <c:pt idx="14">
                  <c:v>Suresh Kumar</c:v>
                </c:pt>
                <c:pt idx="15">
                  <c:v>Meera Menon</c:v>
                </c:pt>
                <c:pt idx="16">
                  <c:v>Nikhil Jain</c:v>
                </c:pt>
                <c:pt idx="17">
                  <c:v>Divya Sharma</c:v>
                </c:pt>
                <c:pt idx="18">
                  <c:v>Akash Yadav</c:v>
                </c:pt>
                <c:pt idx="19">
                  <c:v>Ishita Roy</c:v>
                </c:pt>
                <c:pt idx="20">
                  <c:v>Harsh Vardhan</c:v>
                </c:pt>
                <c:pt idx="21">
                  <c:v>Ritika Kapoor</c:v>
                </c:pt>
                <c:pt idx="22">
                  <c:v>Aman Choudhary</c:v>
                </c:pt>
                <c:pt idx="23">
                  <c:v>Sanjana Shetty</c:v>
                </c:pt>
                <c:pt idx="24">
                  <c:v>Deepak Verma</c:v>
                </c:pt>
                <c:pt idx="25">
                  <c:v>Tanvi Kulkarni</c:v>
                </c:pt>
                <c:pt idx="26">
                  <c:v>Mohit Agarwal</c:v>
                </c:pt>
                <c:pt idx="27">
                  <c:v>Shreya Sinha</c:v>
                </c:pt>
                <c:pt idx="28">
                  <c:v>Yash Malhotra</c:v>
                </c:pt>
                <c:pt idx="29">
                  <c:v>Bhavya Bansal</c:v>
                </c:pt>
              </c:strCache>
            </c:strRef>
          </c:cat>
          <c:val>
            <c:numRef>
              <c:f>Student!$D$2:$D$31</c:f>
              <c:numCache>
                <c:formatCode>General</c:formatCode>
                <c:ptCount val="30"/>
                <c:pt idx="0">
                  <c:v>92</c:v>
                </c:pt>
                <c:pt idx="1">
                  <c:v>78</c:v>
                </c:pt>
                <c:pt idx="2">
                  <c:v>85</c:v>
                </c:pt>
                <c:pt idx="3">
                  <c:v>67</c:v>
                </c:pt>
                <c:pt idx="4">
                  <c:v>95</c:v>
                </c:pt>
                <c:pt idx="5">
                  <c:v>81</c:v>
                </c:pt>
                <c:pt idx="6">
                  <c:v>74</c:v>
                </c:pt>
                <c:pt idx="7">
                  <c:v>88</c:v>
                </c:pt>
                <c:pt idx="8">
                  <c:v>90</c:v>
                </c:pt>
                <c:pt idx="9">
                  <c:v>69</c:v>
                </c:pt>
                <c:pt idx="10">
                  <c:v>76</c:v>
                </c:pt>
                <c:pt idx="11">
                  <c:v>84</c:v>
                </c:pt>
                <c:pt idx="12">
                  <c:v>91</c:v>
                </c:pt>
                <c:pt idx="13">
                  <c:v>73</c:v>
                </c:pt>
                <c:pt idx="14">
                  <c:v>87</c:v>
                </c:pt>
                <c:pt idx="15">
                  <c:v>94</c:v>
                </c:pt>
                <c:pt idx="16">
                  <c:v>79</c:v>
                </c:pt>
                <c:pt idx="17">
                  <c:v>82</c:v>
                </c:pt>
                <c:pt idx="18">
                  <c:v>66</c:v>
                </c:pt>
                <c:pt idx="19">
                  <c:v>89</c:v>
                </c:pt>
                <c:pt idx="20">
                  <c:v>71</c:v>
                </c:pt>
                <c:pt idx="21">
                  <c:v>96</c:v>
                </c:pt>
                <c:pt idx="22">
                  <c:v>77</c:v>
                </c:pt>
                <c:pt idx="23">
                  <c:v>83</c:v>
                </c:pt>
                <c:pt idx="24">
                  <c:v>93</c:v>
                </c:pt>
                <c:pt idx="25">
                  <c:v>68</c:v>
                </c:pt>
                <c:pt idx="26">
                  <c:v>80</c:v>
                </c:pt>
                <c:pt idx="27">
                  <c:v>86</c:v>
                </c:pt>
                <c:pt idx="28">
                  <c:v>75</c:v>
                </c:pt>
                <c:pt idx="2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E-42D1-A052-A4D5291C2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5652480"/>
        <c:axId val="1065642880"/>
      </c:barChart>
      <c:catAx>
        <c:axId val="10656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42880"/>
        <c:crosses val="autoZero"/>
        <c:auto val="1"/>
        <c:lblAlgn val="ctr"/>
        <c:lblOffset val="100"/>
        <c:noMultiLvlLbl val="0"/>
      </c:catAx>
      <c:valAx>
        <c:axId val="10656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65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1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 baseline="0"/>
              <a:t>DEPARTMENT-WISE STUDENT DISTRIBUTION</a:t>
            </a:r>
          </a:p>
        </c:rich>
      </c:tx>
      <c:layout>
        <c:manualLayout>
          <c:xMode val="edge"/>
          <c:yMode val="edge"/>
          <c:x val="0.1813732677932712"/>
          <c:y val="4.1585475480876641E-2"/>
        </c:manualLayout>
      </c:layout>
      <c:overlay val="0"/>
      <c:spPr>
        <a:solidFill>
          <a:schemeClr val="dk1"/>
        </a:solidFill>
        <a:ln w="15875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1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412234692843507"/>
          <c:y val="0.17166237496702777"/>
          <c:w val="0.47143379984275796"/>
          <c:h val="0.73158406397225351"/>
        </c:manualLayout>
      </c:layout>
      <c:pieChart>
        <c:varyColors val="1"/>
        <c:ser>
          <c:idx val="0"/>
          <c:order val="0"/>
          <c:tx>
            <c:strRef>
              <c:f>Dashboard!$B$28</c:f>
              <c:strCache>
                <c:ptCount val="1"/>
                <c:pt idx="0">
                  <c:v>No of Students</c:v>
                </c:pt>
              </c:strCache>
            </c:strRef>
          </c:tx>
          <c:explosion val="17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56-4133-B73F-69300EFE726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756-4133-B73F-69300EFE72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56-4133-B73F-69300EFE726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756-4133-B73F-69300EFE726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56-4133-B73F-69300EFE726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756-4133-B73F-69300EFE726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56-4133-B73F-69300EFE726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756-4133-B73F-69300EFE726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56-4133-B73F-69300EFE726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756-4133-B73F-69300EFE726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756-4133-B73F-69300EFE726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756-4133-B73F-69300EFE726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756-4133-B73F-69300EFE7263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74367557799776"/>
                      <c:h val="0.137616911909279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756-4133-B73F-69300EFE7263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797844854229446"/>
                      <c:h val="9.10542534494227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756-4133-B73F-69300EFE7263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52086322398654"/>
                      <c:h val="8.5695763058525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756-4133-B73F-69300EFE72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5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Dashboard!$A$29:$A$41</c:f>
              <c:strCache>
                <c:ptCount val="13"/>
                <c:pt idx="0">
                  <c:v>Data Science &amp; Analytics</c:v>
                </c:pt>
                <c:pt idx="1">
                  <c:v>Computer Science</c:v>
                </c:pt>
                <c:pt idx="2">
                  <c:v>Information Technology</c:v>
                </c:pt>
                <c:pt idx="3">
                  <c:v>Artificial Intelligence</c:v>
                </c:pt>
                <c:pt idx="4">
                  <c:v>Cyber Security</c:v>
                </c:pt>
                <c:pt idx="5">
                  <c:v>Electronics &amp; Communication</c:v>
                </c:pt>
                <c:pt idx="6">
                  <c:v>Mechanical Engineering</c:v>
                </c:pt>
                <c:pt idx="7">
                  <c:v>Civil Engineering</c:v>
                </c:pt>
                <c:pt idx="8">
                  <c:v>Artificial Intelligence &amp; Machine Learning</c:v>
                </c:pt>
                <c:pt idx="9">
                  <c:v>Business Administration</c:v>
                </c:pt>
                <c:pt idx="10">
                  <c:v>Commerce</c:v>
                </c:pt>
                <c:pt idx="11">
                  <c:v>Mathematics</c:v>
                </c:pt>
                <c:pt idx="12">
                  <c:v>Statistics</c:v>
                </c:pt>
              </c:strCache>
            </c:strRef>
          </c:cat>
          <c:val>
            <c:numRef>
              <c:f>Dashboard!$B$29:$B$41</c:f>
              <c:numCache>
                <c:formatCode>General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6-4133-B73F-69300EFE726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15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482956</xdr:colOff>
      <xdr:row>0</xdr:row>
      <xdr:rowOff>183254</xdr:rowOff>
    </xdr:from>
    <xdr:to>
      <xdr:col>25</xdr:col>
      <xdr:colOff>498038</xdr:colOff>
      <xdr:row>18</xdr:row>
      <xdr:rowOff>62605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00A33B-4F11-4558-B904-75E50389C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417017</xdr:colOff>
      <xdr:row>21</xdr:row>
      <xdr:rowOff>115455</xdr:rowOff>
    </xdr:from>
    <xdr:to>
      <xdr:col>25</xdr:col>
      <xdr:colOff>461817</xdr:colOff>
      <xdr:row>53</xdr:row>
      <xdr:rowOff>86591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85B013-D0D2-353F-BC1B-BCFDBD3B3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D3376-58CF-4FDA-9F9D-E9C93E702A07}" name="Table1" displayName="Table1" ref="A1:E31" totalsRowShown="0" headerRowDxfId="8" dataDxfId="7">
  <autoFilter ref="A1:E31" xr:uid="{340D3376-58CF-4FDA-9F9D-E9C93E702A07}"/>
  <tableColumns count="5">
    <tableColumn id="1" xr3:uid="{9A9AF38E-5463-42DB-94AF-056E360B9A07}" name="Student ID" dataDxfId="6"/>
    <tableColumn id="2" xr3:uid="{6E26F1F6-CB2A-4432-B5A2-E11255E1D05A}" name="Name" dataDxfId="5"/>
    <tableColumn id="3" xr3:uid="{3E113B8E-3A25-4B98-9E0E-538D2F3A425D}" name="Department" dataDxfId="4"/>
    <tableColumn id="4" xr3:uid="{C515FDEA-B705-4718-AF7C-E843C498298B}" name="Marks" dataDxfId="3"/>
    <tableColumn id="5" xr3:uid="{E9DB95B9-5876-4E8E-8ACF-BCE529C1ABEB}" name="Attendance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C9A219-10B1-4F4F-9230-9FFBC9B159B9}" name="Table3" displayName="Table3" ref="A28:B41" totalsRowShown="0" headerRowDxfId="12" dataDxfId="11" headerRowCellStyle="Output" dataCellStyle="Output">
  <autoFilter ref="A28:B41" xr:uid="{83C9A219-10B1-4F4F-9230-9FFBC9B159B9}"/>
  <tableColumns count="2">
    <tableColumn id="1" xr3:uid="{9F0AB4C9-8B3D-45BB-A9B7-C4A1200BBC93}" name="Department" dataDxfId="10" dataCellStyle="Output"/>
    <tableColumn id="2" xr3:uid="{84840554-AA29-4B6F-B546-862995411DA2}" name="No of Students" dataDxfId="9" dataCellStyle="Output">
      <calculatedColumnFormula>COUNTIF(Student!C2:C31,Dashboard!A29)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930F-DB9F-47C4-BF2A-C1E6B7956CF3}">
  <dimension ref="A1:E31"/>
  <sheetViews>
    <sheetView topLeftCell="A25" zoomScale="55" zoomScaleNormal="78" workbookViewId="0">
      <selection activeCell="J4" sqref="J4:J5"/>
    </sheetView>
  </sheetViews>
  <sheetFormatPr defaultRowHeight="14.5" x14ac:dyDescent="0.35"/>
  <cols>
    <col min="1" max="1" width="16.36328125" customWidth="1"/>
    <col min="2" max="2" width="36.453125" customWidth="1"/>
    <col min="3" max="3" width="64.90625" customWidth="1"/>
    <col min="4" max="4" width="17.7265625" customWidth="1"/>
    <col min="5" max="5" width="20.08984375" customWidth="1"/>
    <col min="6" max="6" width="12.54296875" customWidth="1"/>
  </cols>
  <sheetData>
    <row r="1" spans="1:5" ht="23.5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23.5" x14ac:dyDescent="0.55000000000000004">
      <c r="A2" s="5">
        <v>1</v>
      </c>
      <c r="B2" s="5" t="s">
        <v>5</v>
      </c>
      <c r="C2" s="5" t="s">
        <v>35</v>
      </c>
      <c r="D2" s="5">
        <v>92</v>
      </c>
      <c r="E2" s="5">
        <v>95</v>
      </c>
    </row>
    <row r="3" spans="1:5" ht="23.5" x14ac:dyDescent="0.55000000000000004">
      <c r="A3" s="5">
        <v>2</v>
      </c>
      <c r="B3" s="5" t="s">
        <v>6</v>
      </c>
      <c r="C3" s="5" t="s">
        <v>36</v>
      </c>
      <c r="D3" s="5">
        <v>78</v>
      </c>
      <c r="E3" s="5">
        <v>88</v>
      </c>
    </row>
    <row r="4" spans="1:5" ht="23.5" x14ac:dyDescent="0.55000000000000004">
      <c r="A4" s="5">
        <v>3</v>
      </c>
      <c r="B4" s="5" t="s">
        <v>7</v>
      </c>
      <c r="C4" s="5" t="s">
        <v>37</v>
      </c>
      <c r="D4" s="5">
        <v>85</v>
      </c>
      <c r="E4" s="5">
        <v>92</v>
      </c>
    </row>
    <row r="5" spans="1:5" ht="23.5" x14ac:dyDescent="0.55000000000000004">
      <c r="A5" s="5">
        <v>4</v>
      </c>
      <c r="B5" s="5" t="s">
        <v>8</v>
      </c>
      <c r="C5" s="5" t="s">
        <v>35</v>
      </c>
      <c r="D5" s="5">
        <v>67</v>
      </c>
      <c r="E5" s="5">
        <v>76</v>
      </c>
    </row>
    <row r="6" spans="1:5" ht="23.5" x14ac:dyDescent="0.55000000000000004">
      <c r="A6" s="5">
        <v>5</v>
      </c>
      <c r="B6" s="5" t="s">
        <v>9</v>
      </c>
      <c r="C6" s="5" t="s">
        <v>38</v>
      </c>
      <c r="D6" s="5">
        <v>95</v>
      </c>
      <c r="E6" s="5">
        <v>98</v>
      </c>
    </row>
    <row r="7" spans="1:5" ht="23.5" x14ac:dyDescent="0.55000000000000004">
      <c r="A7" s="5">
        <v>6</v>
      </c>
      <c r="B7" s="5" t="s">
        <v>10</v>
      </c>
      <c r="C7" s="5" t="s">
        <v>36</v>
      </c>
      <c r="D7" s="5">
        <v>81</v>
      </c>
      <c r="E7" s="5">
        <v>85</v>
      </c>
    </row>
    <row r="8" spans="1:5" ht="23.5" x14ac:dyDescent="0.55000000000000004">
      <c r="A8" s="5">
        <v>7</v>
      </c>
      <c r="B8" s="5" t="s">
        <v>11</v>
      </c>
      <c r="C8" s="5" t="s">
        <v>37</v>
      </c>
      <c r="D8" s="5">
        <v>74</v>
      </c>
      <c r="E8" s="5">
        <v>79</v>
      </c>
    </row>
    <row r="9" spans="1:5" ht="23.5" x14ac:dyDescent="0.55000000000000004">
      <c r="A9" s="5">
        <v>8</v>
      </c>
      <c r="B9" s="5" t="s">
        <v>12</v>
      </c>
      <c r="C9" s="5" t="s">
        <v>39</v>
      </c>
      <c r="D9" s="5">
        <v>88</v>
      </c>
      <c r="E9" s="5">
        <v>91</v>
      </c>
    </row>
    <row r="10" spans="1:5" ht="23.5" x14ac:dyDescent="0.55000000000000004">
      <c r="A10" s="5">
        <v>9</v>
      </c>
      <c r="B10" s="5" t="s">
        <v>13</v>
      </c>
      <c r="C10" s="5" t="s">
        <v>35</v>
      </c>
      <c r="D10" s="5">
        <v>90</v>
      </c>
      <c r="E10" s="5">
        <v>94</v>
      </c>
    </row>
    <row r="11" spans="1:5" ht="23.5" x14ac:dyDescent="0.55000000000000004">
      <c r="A11" s="5">
        <v>10</v>
      </c>
      <c r="B11" s="5" t="s">
        <v>14</v>
      </c>
      <c r="C11" s="5" t="s">
        <v>40</v>
      </c>
      <c r="D11" s="5">
        <v>69</v>
      </c>
      <c r="E11" s="5">
        <v>81</v>
      </c>
    </row>
    <row r="12" spans="1:5" ht="23.5" x14ac:dyDescent="0.55000000000000004">
      <c r="A12" s="5">
        <v>11</v>
      </c>
      <c r="B12" s="5" t="s">
        <v>15</v>
      </c>
      <c r="C12" s="5" t="s">
        <v>41</v>
      </c>
      <c r="D12" s="5">
        <v>76</v>
      </c>
      <c r="E12" s="5">
        <v>87</v>
      </c>
    </row>
    <row r="13" spans="1:5" ht="23.5" x14ac:dyDescent="0.55000000000000004">
      <c r="A13" s="5">
        <v>12</v>
      </c>
      <c r="B13" s="5" t="s">
        <v>16</v>
      </c>
      <c r="C13" s="5" t="s">
        <v>42</v>
      </c>
      <c r="D13" s="5">
        <v>84</v>
      </c>
      <c r="E13" s="5">
        <v>90</v>
      </c>
    </row>
    <row r="14" spans="1:5" ht="23.5" x14ac:dyDescent="0.55000000000000004">
      <c r="A14" s="5">
        <v>13</v>
      </c>
      <c r="B14" s="5" t="s">
        <v>17</v>
      </c>
      <c r="C14" s="5" t="s">
        <v>36</v>
      </c>
      <c r="D14" s="5">
        <v>91</v>
      </c>
      <c r="E14" s="5">
        <v>97</v>
      </c>
    </row>
    <row r="15" spans="1:5" ht="23.5" x14ac:dyDescent="0.55000000000000004">
      <c r="A15" s="5">
        <v>14</v>
      </c>
      <c r="B15" s="5" t="s">
        <v>18</v>
      </c>
      <c r="C15" s="5" t="s">
        <v>43</v>
      </c>
      <c r="D15" s="5">
        <v>73</v>
      </c>
      <c r="E15" s="5">
        <v>83</v>
      </c>
    </row>
    <row r="16" spans="1:5" ht="23.5" x14ac:dyDescent="0.55000000000000004">
      <c r="A16" s="5">
        <v>15</v>
      </c>
      <c r="B16" s="5" t="s">
        <v>19</v>
      </c>
      <c r="C16" s="5" t="s">
        <v>37</v>
      </c>
      <c r="D16" s="5">
        <v>87</v>
      </c>
      <c r="E16" s="5">
        <v>89</v>
      </c>
    </row>
    <row r="17" spans="1:5" ht="23.5" x14ac:dyDescent="0.55000000000000004">
      <c r="A17" s="5">
        <v>16</v>
      </c>
      <c r="B17" s="5" t="s">
        <v>20</v>
      </c>
      <c r="C17" s="5" t="s">
        <v>35</v>
      </c>
      <c r="D17" s="5">
        <v>94</v>
      </c>
      <c r="E17" s="5">
        <v>96</v>
      </c>
    </row>
    <row r="18" spans="1:5" ht="23.5" x14ac:dyDescent="0.55000000000000004">
      <c r="A18" s="5">
        <v>17</v>
      </c>
      <c r="B18" s="5" t="s">
        <v>21</v>
      </c>
      <c r="C18" s="5" t="s">
        <v>44</v>
      </c>
      <c r="D18" s="5">
        <v>79</v>
      </c>
      <c r="E18" s="5">
        <v>78</v>
      </c>
    </row>
    <row r="19" spans="1:5" ht="23.5" x14ac:dyDescent="0.55000000000000004">
      <c r="A19" s="5">
        <v>18</v>
      </c>
      <c r="B19" s="5" t="s">
        <v>22</v>
      </c>
      <c r="C19" s="5" t="s">
        <v>45</v>
      </c>
      <c r="D19" s="5">
        <v>82</v>
      </c>
      <c r="E19" s="5">
        <v>84</v>
      </c>
    </row>
    <row r="20" spans="1:5" ht="23.5" x14ac:dyDescent="0.55000000000000004">
      <c r="A20" s="5">
        <v>19</v>
      </c>
      <c r="B20" s="5" t="s">
        <v>23</v>
      </c>
      <c r="C20" s="5" t="s">
        <v>46</v>
      </c>
      <c r="D20" s="5">
        <v>66</v>
      </c>
      <c r="E20" s="5">
        <v>75</v>
      </c>
    </row>
    <row r="21" spans="1:5" ht="23.5" x14ac:dyDescent="0.55000000000000004">
      <c r="A21" s="5">
        <v>20</v>
      </c>
      <c r="B21" s="5" t="s">
        <v>24</v>
      </c>
      <c r="C21" s="5" t="s">
        <v>36</v>
      </c>
      <c r="D21" s="5">
        <v>89</v>
      </c>
      <c r="E21" s="5">
        <v>93</v>
      </c>
    </row>
    <row r="22" spans="1:5" ht="23.5" x14ac:dyDescent="0.55000000000000004">
      <c r="A22" s="5">
        <v>21</v>
      </c>
      <c r="B22" s="5" t="s">
        <v>25</v>
      </c>
      <c r="C22" s="5" t="s">
        <v>39</v>
      </c>
      <c r="D22" s="5">
        <v>71</v>
      </c>
      <c r="E22" s="5">
        <v>86</v>
      </c>
    </row>
    <row r="23" spans="1:5" ht="23.5" x14ac:dyDescent="0.55000000000000004">
      <c r="A23" s="5">
        <v>22</v>
      </c>
      <c r="B23" s="5" t="s">
        <v>26</v>
      </c>
      <c r="C23" s="5" t="s">
        <v>38</v>
      </c>
      <c r="D23" s="5">
        <v>96</v>
      </c>
      <c r="E23" s="5">
        <v>99</v>
      </c>
    </row>
    <row r="24" spans="1:5" ht="23.5" x14ac:dyDescent="0.55000000000000004">
      <c r="A24" s="5">
        <v>23</v>
      </c>
      <c r="B24" s="5" t="s">
        <v>27</v>
      </c>
      <c r="C24" s="5" t="s">
        <v>40</v>
      </c>
      <c r="D24" s="5">
        <v>77</v>
      </c>
      <c r="E24" s="5">
        <v>82</v>
      </c>
    </row>
    <row r="25" spans="1:5" ht="23.5" x14ac:dyDescent="0.55000000000000004">
      <c r="A25" s="5">
        <v>24</v>
      </c>
      <c r="B25" s="5" t="s">
        <v>28</v>
      </c>
      <c r="C25" s="5" t="s">
        <v>41</v>
      </c>
      <c r="D25" s="5">
        <v>83</v>
      </c>
      <c r="E25" s="5">
        <v>88</v>
      </c>
    </row>
    <row r="26" spans="1:5" ht="23.5" x14ac:dyDescent="0.55000000000000004">
      <c r="A26" s="5">
        <v>25</v>
      </c>
      <c r="B26" s="5" t="s">
        <v>29</v>
      </c>
      <c r="C26" s="5" t="s">
        <v>35</v>
      </c>
      <c r="D26" s="5">
        <v>93</v>
      </c>
      <c r="E26" s="5">
        <v>97</v>
      </c>
    </row>
    <row r="27" spans="1:5" ht="23.5" x14ac:dyDescent="0.55000000000000004">
      <c r="A27" s="5">
        <v>26</v>
      </c>
      <c r="B27" s="5" t="s">
        <v>30</v>
      </c>
      <c r="C27" s="5" t="s">
        <v>37</v>
      </c>
      <c r="D27" s="5">
        <v>68</v>
      </c>
      <c r="E27" s="5">
        <v>80</v>
      </c>
    </row>
    <row r="28" spans="1:5" ht="23.5" x14ac:dyDescent="0.55000000000000004">
      <c r="A28" s="5">
        <v>27</v>
      </c>
      <c r="B28" s="5" t="s">
        <v>31</v>
      </c>
      <c r="C28" s="5" t="s">
        <v>47</v>
      </c>
      <c r="D28" s="5">
        <v>80</v>
      </c>
      <c r="E28" s="5">
        <v>91</v>
      </c>
    </row>
    <row r="29" spans="1:5" ht="23.5" x14ac:dyDescent="0.55000000000000004">
      <c r="A29" s="5">
        <v>28</v>
      </c>
      <c r="B29" s="5" t="s">
        <v>32</v>
      </c>
      <c r="C29" s="5" t="s">
        <v>36</v>
      </c>
      <c r="D29" s="5">
        <v>86</v>
      </c>
      <c r="E29" s="5">
        <v>85</v>
      </c>
    </row>
    <row r="30" spans="1:5" ht="23.5" x14ac:dyDescent="0.55000000000000004">
      <c r="A30" s="5">
        <v>29</v>
      </c>
      <c r="B30" s="5" t="s">
        <v>33</v>
      </c>
      <c r="C30" s="5" t="s">
        <v>45</v>
      </c>
      <c r="D30" s="5">
        <v>75</v>
      </c>
      <c r="E30" s="5">
        <v>77</v>
      </c>
    </row>
    <row r="31" spans="1:5" ht="23.5" x14ac:dyDescent="0.55000000000000004">
      <c r="A31" s="5">
        <v>30</v>
      </c>
      <c r="B31" s="5" t="s">
        <v>34</v>
      </c>
      <c r="C31" s="5" t="s">
        <v>43</v>
      </c>
      <c r="D31" s="5">
        <v>97</v>
      </c>
      <c r="E31" s="5">
        <v>94</v>
      </c>
    </row>
  </sheetData>
  <phoneticPr fontId="1" type="noConversion"/>
  <conditionalFormatting sqref="A1:E32">
    <cfRule type="top10" dxfId="1" priority="1" rank="10"/>
    <cfRule type="top10" dxfId="0" priority="2" rank="10"/>
  </conditionalFormatting>
  <conditionalFormatting sqref="I12">
    <cfRule type="top10" priority="3" percent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F7B0-FC31-4564-BB23-14DBEE9F5639}">
  <dimension ref="A3:C42"/>
  <sheetViews>
    <sheetView tabSelected="1" topLeftCell="A24" zoomScale="51" zoomScaleNormal="51" workbookViewId="0">
      <selection activeCell="X7" sqref="X7"/>
    </sheetView>
  </sheetViews>
  <sheetFormatPr defaultRowHeight="14.5" x14ac:dyDescent="0.35"/>
  <cols>
    <col min="1" max="1" width="61.54296875" customWidth="1"/>
    <col min="2" max="2" width="40.54296875" customWidth="1"/>
  </cols>
  <sheetData>
    <row r="3" spans="1:3" ht="15" thickBot="1" x14ac:dyDescent="0.4"/>
    <row r="4" spans="1:3" ht="37" thickTop="1" thickBot="1" x14ac:dyDescent="0.85">
      <c r="A4" s="8" t="s">
        <v>48</v>
      </c>
      <c r="B4" s="6">
        <f>COUNT(Student!A2:A31)</f>
        <v>30</v>
      </c>
    </row>
    <row r="5" spans="1:3" ht="37" thickTop="1" thickBot="1" x14ac:dyDescent="0.85">
      <c r="A5" s="8" t="s">
        <v>49</v>
      </c>
      <c r="B5" s="6">
        <f>AVERAGE(Student!D2:D31)</f>
        <v>82.2</v>
      </c>
    </row>
    <row r="6" spans="1:3" ht="37" thickTop="1" thickBot="1" x14ac:dyDescent="0.85">
      <c r="A6" s="8" t="s">
        <v>50</v>
      </c>
      <c r="B6" s="6">
        <f>MAX(Student!D2:D31)</f>
        <v>97</v>
      </c>
    </row>
    <row r="7" spans="1:3" ht="37" thickTop="1" thickBot="1" x14ac:dyDescent="0.85">
      <c r="A7" s="8" t="s">
        <v>51</v>
      </c>
      <c r="B7" s="6">
        <f>MIN(Student!D2:D31)</f>
        <v>66</v>
      </c>
    </row>
    <row r="8" spans="1:3" ht="37" thickTop="1" thickBot="1" x14ac:dyDescent="0.85">
      <c r="A8" s="8" t="s">
        <v>52</v>
      </c>
      <c r="B8" s="6">
        <f>COUNTIF(Student!E2:E31,"&gt;90")</f>
        <v>12</v>
      </c>
    </row>
    <row r="9" spans="1:3" ht="37" thickTop="1" thickBot="1" x14ac:dyDescent="0.85">
      <c r="A9" s="8" t="s">
        <v>53</v>
      </c>
      <c r="B9" s="6">
        <f>COUNTIF(Student!D2:D31,"&gt;80")</f>
        <v>17</v>
      </c>
    </row>
    <row r="10" spans="1:3" ht="37" thickTop="1" thickBot="1" x14ac:dyDescent="0.85">
      <c r="A10" s="8" t="s">
        <v>54</v>
      </c>
      <c r="B10" s="6">
        <f>COUNTIF(Student!D2:D31,"&lt;50")</f>
        <v>0</v>
      </c>
      <c r="C10" s="1"/>
    </row>
    <row r="11" spans="1:3" ht="37" thickTop="1" thickBot="1" x14ac:dyDescent="0.85">
      <c r="A11" s="8" t="s">
        <v>55</v>
      </c>
      <c r="B11" s="7">
        <f>AVERAGE(Student!E2:E31)</f>
        <v>87.666666666666671</v>
      </c>
      <c r="C11" s="1"/>
    </row>
    <row r="12" spans="1:3" ht="15.5" thickTop="1" thickBot="1" x14ac:dyDescent="0.4">
      <c r="C12" s="1"/>
    </row>
    <row r="13" spans="1:3" ht="15.5" thickTop="1" thickBot="1" x14ac:dyDescent="0.4">
      <c r="C13" s="1"/>
    </row>
    <row r="14" spans="1:3" ht="15.5" thickTop="1" thickBot="1" x14ac:dyDescent="0.4">
      <c r="C14" s="1"/>
    </row>
    <row r="15" spans="1:3" ht="15.5" thickTop="1" thickBot="1" x14ac:dyDescent="0.4">
      <c r="C15" s="1"/>
    </row>
    <row r="16" spans="1:3" ht="15.5" thickTop="1" thickBot="1" x14ac:dyDescent="0.4">
      <c r="C16" s="1"/>
    </row>
    <row r="17" spans="1:3" ht="15.5" thickTop="1" thickBot="1" x14ac:dyDescent="0.4">
      <c r="C17" s="1"/>
    </row>
    <row r="18" spans="1:3" ht="15" thickTop="1" x14ac:dyDescent="0.35"/>
    <row r="28" spans="1:3" ht="36" x14ac:dyDescent="0.8">
      <c r="A28" s="3" t="s">
        <v>2</v>
      </c>
      <c r="B28" s="3" t="s">
        <v>56</v>
      </c>
    </row>
    <row r="29" spans="1:3" ht="36" x14ac:dyDescent="0.8">
      <c r="A29" s="4" t="s">
        <v>35</v>
      </c>
      <c r="B29" s="4">
        <f>COUNTIF(Student!C2:C31,Dashboard!A29)</f>
        <v>5</v>
      </c>
    </row>
    <row r="30" spans="1:3" ht="36" x14ac:dyDescent="0.8">
      <c r="A30" s="4" t="s">
        <v>36</v>
      </c>
      <c r="B30" s="4">
        <f>COUNTIF(Student!C3:C32,Dashboard!A30)</f>
        <v>5</v>
      </c>
    </row>
    <row r="31" spans="1:3" ht="36" x14ac:dyDescent="0.8">
      <c r="A31" s="4" t="s">
        <v>37</v>
      </c>
      <c r="B31" s="4">
        <f>COUNTIF(Student!C4:C33,Dashboard!A31)</f>
        <v>4</v>
      </c>
    </row>
    <row r="32" spans="1:3" ht="36" x14ac:dyDescent="0.8">
      <c r="A32" s="4" t="s">
        <v>38</v>
      </c>
      <c r="B32" s="4">
        <f>COUNTIF(Student!C5:C34,Dashboard!A32)</f>
        <v>2</v>
      </c>
    </row>
    <row r="33" spans="1:2" ht="36" x14ac:dyDescent="0.8">
      <c r="A33" s="4" t="s">
        <v>39</v>
      </c>
      <c r="B33" s="4">
        <f>COUNTIF(Student!C6:C35,Dashboard!A33)</f>
        <v>2</v>
      </c>
    </row>
    <row r="34" spans="1:2" ht="36" x14ac:dyDescent="0.8">
      <c r="A34" s="4" t="s">
        <v>40</v>
      </c>
      <c r="B34" s="4">
        <f>COUNTIF(Student!C7:C36,Dashboard!A34)</f>
        <v>2</v>
      </c>
    </row>
    <row r="35" spans="1:2" ht="36" x14ac:dyDescent="0.8">
      <c r="A35" s="4" t="s">
        <v>41</v>
      </c>
      <c r="B35" s="4">
        <f>COUNTIF(Student!C8:C37,Dashboard!A35)</f>
        <v>2</v>
      </c>
    </row>
    <row r="36" spans="1:2" ht="36" x14ac:dyDescent="0.8">
      <c r="A36" s="4" t="s">
        <v>42</v>
      </c>
      <c r="B36" s="4">
        <f>COUNTIF(Student!C9:C38,Dashboard!A36)</f>
        <v>1</v>
      </c>
    </row>
    <row r="37" spans="1:2" ht="36" x14ac:dyDescent="0.8">
      <c r="A37" s="4" t="s">
        <v>43</v>
      </c>
      <c r="B37" s="4">
        <f>COUNTIF(Student!C10:C39,Dashboard!A37)</f>
        <v>2</v>
      </c>
    </row>
    <row r="38" spans="1:2" ht="36" x14ac:dyDescent="0.8">
      <c r="A38" s="4" t="s">
        <v>44</v>
      </c>
      <c r="B38" s="4">
        <f>COUNTIF(Student!C11:C40,Dashboard!A38)</f>
        <v>1</v>
      </c>
    </row>
    <row r="39" spans="1:2" ht="36" x14ac:dyDescent="0.8">
      <c r="A39" s="4" t="s">
        <v>45</v>
      </c>
      <c r="B39" s="4">
        <f>COUNTIF(Student!C12:C41,Dashboard!A39)</f>
        <v>2</v>
      </c>
    </row>
    <row r="40" spans="1:2" ht="36" x14ac:dyDescent="0.8">
      <c r="A40" s="4" t="s">
        <v>46</v>
      </c>
      <c r="B40" s="4">
        <f>COUNTIF(Student!C13:C42,Dashboard!A40)</f>
        <v>1</v>
      </c>
    </row>
    <row r="41" spans="1:2" ht="36" x14ac:dyDescent="0.8">
      <c r="A41" s="4" t="s">
        <v>47</v>
      </c>
      <c r="B41" s="4">
        <f>COUNTIF(Student!C14:C43,Dashboard!A41)</f>
        <v>1</v>
      </c>
    </row>
    <row r="42" spans="1:2" x14ac:dyDescent="0.35">
      <c r="B42" s="2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Rajeshwari Parameshwaran</dc:creator>
  <cp:lastModifiedBy>Rajeshwari Parameshwaran</cp:lastModifiedBy>
  <dcterms:created xsi:type="dcterms:W3CDTF">2026-06-28T14:23:08Z</dcterms:created>
  <dcterms:modified xsi:type="dcterms:W3CDTF">2026-07-04T15:10:52Z</dcterms:modified>
</cp:coreProperties>
</file>